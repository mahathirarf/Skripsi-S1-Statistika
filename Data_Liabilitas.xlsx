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Liabilitas" sheetId="1" r:id="rId5"/>
    <sheet state="visible" name="Alpha" sheetId="2" r:id="rId6"/>
    <sheet state="visible" name="AUM Per Tahun" sheetId="3" r:id="rId7"/>
  </sheets>
  <definedNames/>
  <calcPr/>
</workbook>
</file>

<file path=xl/sharedStrings.xml><?xml version="1.0" encoding="utf-8"?>
<sst xmlns="http://schemas.openxmlformats.org/spreadsheetml/2006/main" count="19" uniqueCount="13">
  <si>
    <t>Tahun</t>
  </si>
  <si>
    <t>Beban PIH (IDR Juta)</t>
  </si>
  <si>
    <t>Dana Setoran Jamaah (IDR Juta)</t>
  </si>
  <si>
    <t>Total_Kuota</t>
  </si>
  <si>
    <t>BPIH-Dana Setoran (IDR Juta)</t>
  </si>
  <si>
    <t>Jemaah_Reguler</t>
  </si>
  <si>
    <t>Alpha</t>
  </si>
  <si>
    <t>Penempatan pada Bank (IDR Juta)</t>
  </si>
  <si>
    <t>Persentase Deposito</t>
  </si>
  <si>
    <t>Emas dan Rekening Emas (IDR Juta)</t>
  </si>
  <si>
    <t>Surat-surat berharga (IDR Juta)</t>
  </si>
  <si>
    <t>Investasi langsung dan investasi lainnya (IDR Juta)</t>
  </si>
  <si>
    <t>Total Aset Investasi (IDR Juta)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</si>
</sst>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p]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0" fillId="0" fontId="1" numFmtId="10" xfId="0" applyAlignment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1" xfId="0" applyAlignment="1" applyBorder="1" applyFont="1" applyNumberForma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left" readingOrder="0"/>
    </xf>
    <xf borderId="1" fillId="0" fontId="1" numFmtId="10" xfId="0" applyAlignment="1" applyBorder="1" applyFont="1" applyNumberFormat="1">
      <alignment horizontal="left" readingOrder="0"/>
    </xf>
    <xf borderId="1" fillId="0" fontId="1" numFmtId="10" xfId="0" applyBorder="1" applyFont="1" applyNumberFormat="1"/>
    <xf borderId="0" fillId="0" fontId="1" numFmtId="164" xfId="0" applyFont="1" applyNumberFormat="1"/>
    <xf borderId="1" fillId="0" fontId="1" numFmtId="164" xfId="0" applyAlignment="1" applyBorder="1" applyFont="1" applyNumberFormat="1">
      <alignment horizontal="left" shrinkToFit="0" vertical="center" wrapText="1"/>
    </xf>
    <xf borderId="1" fillId="0" fontId="1" numFmtId="164" xfId="0" applyBorder="1" applyFont="1" applyNumberFormat="1"/>
    <xf borderId="0" fillId="0" fontId="1" numFmtId="10" xfId="0" applyFont="1" applyNumberFormat="1"/>
    <xf borderId="1" fillId="0" fontId="1" numFmtId="164" xfId="0" applyAlignment="1" applyBorder="1" applyFont="1" applyNumberForma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5"/>
    <col customWidth="1" min="2" max="2" width="9.75"/>
    <col customWidth="1" min="3" max="3" width="13.75"/>
    <col customWidth="1" min="4" max="4" width="17.13"/>
    <col customWidth="1" min="5" max="5" width="25.75"/>
    <col customWidth="1" min="6" max="6" width="23.75"/>
    <col customWidth="1" min="7" max="7" width="30.0"/>
    <col customWidth="1" min="12" max="12" width="18.0"/>
  </cols>
  <sheetData>
    <row r="1">
      <c r="A1" s="1" t="s">
        <v>0</v>
      </c>
      <c r="B1" s="1" t="s">
        <v>3</v>
      </c>
      <c r="C1" s="1" t="s">
        <v>5</v>
      </c>
      <c r="D1" s="1" t="s">
        <v>1</v>
      </c>
      <c r="E1" s="1" t="s">
        <v>2</v>
      </c>
      <c r="F1" s="1" t="s">
        <v>4</v>
      </c>
    </row>
    <row r="2">
      <c r="A2" s="4">
        <v>2014.0</v>
      </c>
      <c r="B2" s="4">
        <v>168800.0</v>
      </c>
      <c r="C2" s="4">
        <v>155200.0</v>
      </c>
      <c r="D2" s="4">
        <v>59.27</v>
      </c>
      <c r="E2" s="4">
        <v>40.03</v>
      </c>
      <c r="F2" s="5">
        <f t="shared" ref="F2:F13" si="1">D2-E2</f>
        <v>19.24</v>
      </c>
      <c r="G2" s="10"/>
      <c r="J2" s="3"/>
      <c r="K2" s="10"/>
    </row>
    <row r="3">
      <c r="A3" s="4">
        <v>2015.0</v>
      </c>
      <c r="B3" s="4">
        <v>168800.0</v>
      </c>
      <c r="C3" s="4">
        <v>155200.0</v>
      </c>
      <c r="D3" s="4">
        <v>61.56</v>
      </c>
      <c r="E3" s="4">
        <v>37.49</v>
      </c>
      <c r="F3" s="5">
        <f t="shared" si="1"/>
        <v>24.07</v>
      </c>
      <c r="G3" s="10"/>
      <c r="H3" s="3"/>
      <c r="K3" s="10"/>
    </row>
    <row r="4">
      <c r="A4" s="4">
        <v>2016.0</v>
      </c>
      <c r="B4" s="4">
        <v>168800.0</v>
      </c>
      <c r="C4" s="4">
        <v>155200.0</v>
      </c>
      <c r="D4" s="4">
        <v>60.0</v>
      </c>
      <c r="E4" s="4">
        <v>34.6</v>
      </c>
      <c r="F4" s="5">
        <f t="shared" si="1"/>
        <v>25.4</v>
      </c>
      <c r="G4" s="10"/>
      <c r="K4" s="10"/>
    </row>
    <row r="5">
      <c r="A5" s="4">
        <v>2017.0</v>
      </c>
      <c r="B5" s="4">
        <v>221000.0</v>
      </c>
      <c r="C5" s="4">
        <v>204000.0</v>
      </c>
      <c r="D5" s="4">
        <v>61.79</v>
      </c>
      <c r="E5" s="4">
        <v>34.89</v>
      </c>
      <c r="F5" s="5">
        <f t="shared" si="1"/>
        <v>26.9</v>
      </c>
      <c r="G5" s="10"/>
      <c r="K5" s="10"/>
    </row>
    <row r="6">
      <c r="A6" s="4">
        <v>2018.0</v>
      </c>
      <c r="B6" s="4">
        <v>221000.0</v>
      </c>
      <c r="C6" s="4">
        <v>204000.0</v>
      </c>
      <c r="D6" s="4">
        <v>68.96</v>
      </c>
      <c r="E6" s="4">
        <v>35.24</v>
      </c>
      <c r="F6" s="5">
        <f t="shared" si="1"/>
        <v>33.72</v>
      </c>
      <c r="G6" s="10"/>
      <c r="K6" s="10"/>
    </row>
    <row r="7">
      <c r="A7" s="4">
        <v>2019.0</v>
      </c>
      <c r="B7" s="4">
        <v>221000.0</v>
      </c>
      <c r="C7" s="4">
        <v>214000.0</v>
      </c>
      <c r="D7" s="4">
        <v>69.16</v>
      </c>
      <c r="E7" s="4">
        <v>35.24</v>
      </c>
      <c r="F7" s="5">
        <f t="shared" si="1"/>
        <v>33.92</v>
      </c>
      <c r="G7" s="10"/>
      <c r="K7" s="10"/>
    </row>
    <row r="8">
      <c r="A8" s="4">
        <v>2020.0</v>
      </c>
      <c r="B8" s="4">
        <v>0.0</v>
      </c>
      <c r="C8" s="4">
        <v>0.0</v>
      </c>
      <c r="D8" s="4">
        <v>0.0</v>
      </c>
      <c r="E8" s="4">
        <v>0.0</v>
      </c>
      <c r="F8" s="5">
        <f t="shared" si="1"/>
        <v>0</v>
      </c>
      <c r="G8" s="10"/>
      <c r="K8" s="10"/>
    </row>
    <row r="9">
      <c r="A9" s="4">
        <v>2021.0</v>
      </c>
      <c r="B9" s="4">
        <v>0.0</v>
      </c>
      <c r="C9" s="4">
        <v>0.0</v>
      </c>
      <c r="D9" s="4">
        <v>0.0</v>
      </c>
      <c r="E9" s="4">
        <v>0.0</v>
      </c>
      <c r="F9" s="5">
        <f t="shared" si="1"/>
        <v>0</v>
      </c>
      <c r="G9" s="10"/>
      <c r="K9" s="10"/>
    </row>
    <row r="10">
      <c r="A10" s="4">
        <v>2022.0</v>
      </c>
      <c r="B10" s="4">
        <v>100051.0</v>
      </c>
      <c r="C10" s="4">
        <v>92825.0</v>
      </c>
      <c r="D10" s="4">
        <v>97.79</v>
      </c>
      <c r="E10" s="4">
        <v>39.89</v>
      </c>
      <c r="F10" s="5">
        <f t="shared" si="1"/>
        <v>57.9</v>
      </c>
      <c r="G10" s="10"/>
      <c r="K10" s="10"/>
    </row>
    <row r="11">
      <c r="A11" s="4">
        <v>2023.0</v>
      </c>
      <c r="B11" s="4">
        <v>221000.0</v>
      </c>
      <c r="C11" s="4">
        <v>203320.0</v>
      </c>
      <c r="D11" s="4">
        <v>90.0</v>
      </c>
      <c r="E11" s="4">
        <v>49.9</v>
      </c>
      <c r="F11" s="5">
        <f t="shared" si="1"/>
        <v>40.1</v>
      </c>
      <c r="G11" s="10"/>
      <c r="K11" s="10"/>
    </row>
    <row r="12">
      <c r="A12" s="4">
        <v>2024.0</v>
      </c>
      <c r="B12" s="4">
        <v>241000.0</v>
      </c>
      <c r="C12" s="4">
        <v>213320.0</v>
      </c>
      <c r="D12" s="4">
        <v>93.41</v>
      </c>
      <c r="E12" s="4">
        <v>56.04</v>
      </c>
      <c r="F12" s="5">
        <f t="shared" si="1"/>
        <v>37.37</v>
      </c>
      <c r="G12" s="10"/>
      <c r="K12" s="10"/>
    </row>
    <row r="13">
      <c r="A13" s="4">
        <v>2025.0</v>
      </c>
      <c r="B13" s="4">
        <v>221000.0</v>
      </c>
      <c r="C13" s="4">
        <v>203320.0</v>
      </c>
      <c r="D13" s="4">
        <v>89.41</v>
      </c>
      <c r="E13" s="4">
        <v>55.43</v>
      </c>
      <c r="F13" s="5">
        <f t="shared" si="1"/>
        <v>33.98</v>
      </c>
      <c r="G13" s="10"/>
      <c r="K13" s="10"/>
      <c r="L13" s="13"/>
    </row>
    <row r="15">
      <c r="C15" s="13"/>
      <c r="D15" s="13"/>
      <c r="F15" s="13"/>
      <c r="G15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5"/>
    <col customWidth="1" min="2" max="2" width="17.13"/>
    <col customWidth="1" min="3" max="3" width="25.75"/>
    <col customWidth="1" min="4" max="4" width="23.75"/>
    <col customWidth="1" min="5" max="5" width="6.63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3" t="s">
        <v>6</v>
      </c>
    </row>
    <row r="2">
      <c r="A2" s="4">
        <v>2014.0</v>
      </c>
      <c r="B2" s="4">
        <v>59.27</v>
      </c>
      <c r="C2" s="4">
        <v>40.03</v>
      </c>
      <c r="D2" s="5">
        <v>19.240000000000002</v>
      </c>
      <c r="E2" s="9">
        <f t="shared" ref="E2:E7" si="1">D2/B2</f>
        <v>0.3246161633</v>
      </c>
    </row>
    <row r="3">
      <c r="A3" s="4">
        <v>2015.0</v>
      </c>
      <c r="B3" s="4">
        <v>61.56</v>
      </c>
      <c r="C3" s="4">
        <v>37.49</v>
      </c>
      <c r="D3" s="5">
        <v>24.07</v>
      </c>
      <c r="E3" s="9">
        <f t="shared" si="1"/>
        <v>0.3910006498</v>
      </c>
    </row>
    <row r="4">
      <c r="A4" s="4">
        <v>2016.0</v>
      </c>
      <c r="B4" s="4">
        <v>60.0</v>
      </c>
      <c r="C4" s="4">
        <v>34.6</v>
      </c>
      <c r="D4" s="5">
        <v>25.4</v>
      </c>
      <c r="E4" s="9">
        <f t="shared" si="1"/>
        <v>0.4233333333</v>
      </c>
    </row>
    <row r="5">
      <c r="A5" s="4">
        <v>2017.0</v>
      </c>
      <c r="B5" s="4">
        <v>61.79</v>
      </c>
      <c r="C5" s="4">
        <v>34.89</v>
      </c>
      <c r="D5" s="5">
        <v>26.9</v>
      </c>
      <c r="E5" s="9">
        <f t="shared" si="1"/>
        <v>0.4353455252</v>
      </c>
    </row>
    <row r="6">
      <c r="A6" s="4">
        <v>2018.0</v>
      </c>
      <c r="B6" s="4">
        <v>68.96</v>
      </c>
      <c r="C6" s="4">
        <v>35.24</v>
      </c>
      <c r="D6" s="5">
        <v>33.71999999999999</v>
      </c>
      <c r="E6" s="9">
        <f t="shared" si="1"/>
        <v>0.4889791183</v>
      </c>
    </row>
    <row r="7">
      <c r="A7" s="4">
        <v>2019.0</v>
      </c>
      <c r="B7" s="4">
        <v>69.16</v>
      </c>
      <c r="C7" s="4">
        <v>35.24</v>
      </c>
      <c r="D7" s="5">
        <v>33.919999999999995</v>
      </c>
      <c r="E7" s="9">
        <f t="shared" si="1"/>
        <v>0.4904569115</v>
      </c>
    </row>
    <row r="8">
      <c r="A8" s="4">
        <v>2020.0</v>
      </c>
      <c r="B8" s="4">
        <v>0.0</v>
      </c>
      <c r="C8" s="4">
        <v>0.0</v>
      </c>
      <c r="D8" s="5">
        <v>0.0</v>
      </c>
      <c r="E8" s="9"/>
    </row>
    <row r="9">
      <c r="A9" s="4">
        <v>2021.0</v>
      </c>
      <c r="B9" s="4">
        <v>0.0</v>
      </c>
      <c r="C9" s="4">
        <v>0.0</v>
      </c>
      <c r="D9" s="5">
        <v>0.0</v>
      </c>
      <c r="E9" s="9"/>
    </row>
    <row r="10">
      <c r="A10" s="4">
        <v>2022.0</v>
      </c>
      <c r="B10" s="4">
        <v>97.79</v>
      </c>
      <c r="C10" s="4">
        <v>39.89</v>
      </c>
      <c r="D10" s="5">
        <v>57.900000000000006</v>
      </c>
      <c r="E10" s="9">
        <f t="shared" ref="E10:E13" si="2">D10/B10</f>
        <v>0.5920850803</v>
      </c>
    </row>
    <row r="11">
      <c r="A11" s="4">
        <v>2023.0</v>
      </c>
      <c r="B11" s="4">
        <v>90.0</v>
      </c>
      <c r="C11" s="4">
        <v>49.9</v>
      </c>
      <c r="D11" s="5">
        <v>40.1</v>
      </c>
      <c r="E11" s="9">
        <f t="shared" si="2"/>
        <v>0.4455555556</v>
      </c>
    </row>
    <row r="12">
      <c r="A12" s="4">
        <v>2024.0</v>
      </c>
      <c r="B12" s="4">
        <v>93.41</v>
      </c>
      <c r="C12" s="4">
        <v>56.04</v>
      </c>
      <c r="D12" s="5">
        <v>37.37</v>
      </c>
      <c r="E12" s="9">
        <f t="shared" si="2"/>
        <v>0.400064233</v>
      </c>
    </row>
    <row r="13">
      <c r="A13" s="4">
        <v>2025.0</v>
      </c>
      <c r="B13" s="4">
        <v>89.41</v>
      </c>
      <c r="C13" s="4">
        <v>55.43</v>
      </c>
      <c r="D13" s="5">
        <v>33.98</v>
      </c>
      <c r="E13" s="9">
        <f t="shared" si="2"/>
        <v>0.3800469746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3" max="3" width="9.38"/>
  </cols>
  <sheetData>
    <row r="1">
      <c r="A1" s="2" t="s">
        <v>0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12</v>
      </c>
    </row>
    <row r="2">
      <c r="A2" s="6">
        <v>2021.0</v>
      </c>
      <c r="B2" s="7">
        <v>4.5636507E7</v>
      </c>
      <c r="C2" s="8">
        <f t="shared" ref="C2:C5" si="1">B2/H2</f>
        <v>0.2897369924</v>
      </c>
      <c r="D2" s="7">
        <v>0.0</v>
      </c>
      <c r="E2" s="7">
        <v>1.10909318E8</v>
      </c>
      <c r="F2" s="7">
        <v>964290.0</v>
      </c>
      <c r="G2" s="11">
        <f t="shared" ref="G2:G5" si="2">SUM(D2:F2)</f>
        <v>111873608</v>
      </c>
      <c r="H2" s="12">
        <f t="shared" ref="H2:H5" si="3">SUM(B2, D2:F2)</f>
        <v>157510115</v>
      </c>
      <c r="J2" s="1"/>
    </row>
    <row r="3">
      <c r="A3" s="6">
        <v>2022.0</v>
      </c>
      <c r="B3" s="7">
        <v>4.8946475E7</v>
      </c>
      <c r="C3" s="8">
        <f t="shared" si="1"/>
        <v>0.2972034529</v>
      </c>
      <c r="D3" s="7">
        <v>425.0</v>
      </c>
      <c r="E3" s="7">
        <v>1.14964163E8</v>
      </c>
      <c r="F3" s="7">
        <v>779066.0</v>
      </c>
      <c r="G3" s="11">
        <f t="shared" si="2"/>
        <v>115743654</v>
      </c>
      <c r="H3" s="12">
        <f t="shared" si="3"/>
        <v>164690129</v>
      </c>
    </row>
    <row r="4">
      <c r="A4" s="6">
        <v>2023.0</v>
      </c>
      <c r="B4" s="14">
        <v>4.1628367E7</v>
      </c>
      <c r="C4" s="8">
        <f t="shared" si="1"/>
        <v>0.252470343</v>
      </c>
      <c r="D4" s="14">
        <v>0.0</v>
      </c>
      <c r="E4" s="14">
        <v>1.22678026E8</v>
      </c>
      <c r="F4" s="14">
        <v>577793.0</v>
      </c>
      <c r="G4" s="11">
        <f t="shared" si="2"/>
        <v>123255819</v>
      </c>
      <c r="H4" s="12">
        <f t="shared" si="3"/>
        <v>164884186</v>
      </c>
    </row>
    <row r="5">
      <c r="A5" s="6">
        <v>2024.0</v>
      </c>
      <c r="B5" s="14">
        <v>4.0761408E7</v>
      </c>
      <c r="C5" s="8">
        <f t="shared" si="1"/>
        <v>0.2404174002</v>
      </c>
      <c r="D5" s="14">
        <v>2365.0</v>
      </c>
      <c r="E5" s="14">
        <v>1.28392451E8</v>
      </c>
      <c r="F5" s="14">
        <v>388110.0</v>
      </c>
      <c r="G5" s="11">
        <f t="shared" si="2"/>
        <v>128782926</v>
      </c>
      <c r="H5" s="12">
        <f t="shared" si="3"/>
        <v>169544334</v>
      </c>
    </row>
  </sheetData>
  <drawing r:id="rId1"/>
</worksheet>
</file>